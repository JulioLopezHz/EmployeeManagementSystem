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States" sheetId="2" r:id="rId2"/>
    <sheet name="MaritalStatus" sheetId="3" r:id="rId3"/>
  </sheets>
  <calcPr calcId="152511"/>
</workbook>
</file>

<file path=xl/calcChain.xml><?xml version="1.0" encoding="utf-8"?>
<calcChain xmlns="http://schemas.openxmlformats.org/spreadsheetml/2006/main">
  <c r="R3" i="1" l="1"/>
  <c r="R2" i="1"/>
  <c r="Y3" i="1"/>
  <c r="Y2" i="1"/>
  <c r="AE2" i="1"/>
  <c r="AE3" i="1"/>
</calcChain>
</file>

<file path=xl/sharedStrings.xml><?xml version="1.0" encoding="utf-8"?>
<sst xmlns="http://schemas.openxmlformats.org/spreadsheetml/2006/main" count="111" uniqueCount="98">
  <si>
    <t>Id</t>
  </si>
  <si>
    <t>Nombre</t>
  </si>
  <si>
    <t>Apellido</t>
  </si>
  <si>
    <t>RFC</t>
  </si>
  <si>
    <t>CURP</t>
  </si>
  <si>
    <t>CUIP</t>
  </si>
  <si>
    <t>Nivel máximo de estudios</t>
  </si>
  <si>
    <t>Cédula profesional</t>
  </si>
  <si>
    <t>Fecha de la cédula</t>
  </si>
  <si>
    <t>Género</t>
  </si>
  <si>
    <t>Teléfono</t>
  </si>
  <si>
    <t>Correo electrónico</t>
  </si>
  <si>
    <t>Dirección</t>
  </si>
  <si>
    <t>Colonia</t>
  </si>
  <si>
    <t>C.P.</t>
  </si>
  <si>
    <t>Alcaldía</t>
  </si>
  <si>
    <t>Estado</t>
  </si>
  <si>
    <t>Teléfono Aux. 1</t>
  </si>
  <si>
    <t>Teléfono Aux. 2</t>
  </si>
  <si>
    <t>Teléfono del contacto de emergencia</t>
  </si>
  <si>
    <t>Fecha de nacimiento</t>
  </si>
  <si>
    <t>Estatura (cm)</t>
  </si>
  <si>
    <t>Lugar de nacimiento</t>
  </si>
  <si>
    <t>Cantidad de hijos</t>
  </si>
  <si>
    <t>Licencia de conducir</t>
  </si>
  <si>
    <t>Tipo de licencia</t>
  </si>
  <si>
    <t>Estado emisor de la licencia</t>
  </si>
  <si>
    <t>Fecha de emisión de la licencia</t>
  </si>
  <si>
    <t>Fecha de expiración de la licencia</t>
  </si>
  <si>
    <t>¿Es licencia permanente? (SÍ/NO)</t>
  </si>
  <si>
    <t>Tulio</t>
  </si>
  <si>
    <t>LOHJ931003AA1</t>
  </si>
  <si>
    <t>LOHJ931003XXXXXX01</t>
  </si>
  <si>
    <t>AAAAAXXXXX001</t>
  </si>
  <si>
    <t>Licenciatura</t>
  </si>
  <si>
    <t>ABCD0001</t>
  </si>
  <si>
    <t>H</t>
  </si>
  <si>
    <t>tulio_lopez@mail.com</t>
  </si>
  <si>
    <t>Peralvillo #50</t>
  </si>
  <si>
    <t>Morelos</t>
  </si>
  <si>
    <t>06200</t>
  </si>
  <si>
    <t>Cuauhtémoc</t>
  </si>
  <si>
    <t>Soltero</t>
  </si>
  <si>
    <t>Estado civil</t>
  </si>
  <si>
    <t>Tehuacán, Puebla</t>
  </si>
  <si>
    <t>Ciudad de México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</si>
  <si>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</si>
  <si>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</si>
  <si>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</si>
  <si>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</si>
  <si>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</si>
  <si>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</si>
  <si>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</si>
  <si>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</si>
  <si>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</si>
  <si>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</si>
  <si>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</si>
  <si>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</si>
  <si>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</si>
  <si>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</si>
  <si>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</si>
  <si>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</si>
  <si>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</si>
  <si>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</si>
  <si>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</si>
  <si>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</si>
  <si>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</si>
  <si>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</si>
  <si>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</si>
  <si>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</si>
  <si>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</si>
  <si>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</si>
  <si>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</si>
  <si>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</si>
  <si>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</si>
  <si>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</si>
  <si>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Id Estado Civil</t>
  </si>
  <si>
    <t>Id Estado</t>
  </si>
  <si>
    <t>Casado</t>
  </si>
  <si>
    <t>Divorciado</t>
  </si>
  <si>
    <t>Viudo</t>
  </si>
  <si>
    <t>Concubinato</t>
  </si>
  <si>
    <t>RARA910101AA1</t>
  </si>
  <si>
    <t>AAAAAXXXXX002</t>
  </si>
  <si>
    <t>RARA910101XXXXXX01</t>
  </si>
  <si>
    <t>ABCD0002</t>
  </si>
  <si>
    <t>M</t>
  </si>
  <si>
    <t>A</t>
  </si>
  <si>
    <t>ana@mail.com</t>
  </si>
  <si>
    <t>Eje 1 #50</t>
  </si>
  <si>
    <t>Vallejo</t>
  </si>
  <si>
    <t>06201</t>
  </si>
  <si>
    <t>Texcoco, Edo. Mex.</t>
  </si>
  <si>
    <t>ABCD001</t>
  </si>
  <si>
    <t>SÍ</t>
  </si>
  <si>
    <t>Ramírez Ramírez</t>
  </si>
  <si>
    <t>López</t>
  </si>
  <si>
    <t>Ana María Juana Jaquelín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</si>
</sst>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  <font>
      <b/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A0A0A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4" fontId="0" fillId="0" borderId="0" xfId="0" applyNumberFormat="1"/>
    <xf numFmtId="0" fontId="3" fillId="0" borderId="0" xfId="1"/>
    <xf numFmtId="49" fontId="0" fillId="0" borderId="0" xfId="0" applyNumberFormat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1" fontId="4" fillId="4" borderId="1" xfId="0" applyNumberFormat="1" applyFont="1" applyFill="1" applyBorder="1"/>
    <xf numFmtId="1" fontId="0" fillId="4" borderId="1" xfId="0" applyNumberFormat="1" applyFill="1" applyBorder="1"/>
    <xf numFmtId="0" fontId="2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/>
    <xf numFmtId="0" fontId="0" fillId="4" borderId="1" xfId="0" applyNumberFormat="1" applyFill="1" applyBorder="1"/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@mail.com" TargetMode="External"/><Relationship Id="rId2" Type="http://schemas.openxmlformats.org/officeDocument/2006/relationships/hyperlink" Target="mailto:tulio_lopez@mail.com" TargetMode="External"/><Relationship Id="rId1" Type="http://schemas.openxmlformats.org/officeDocument/2006/relationships/hyperlink" Target="mailto:tulio_lopez@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tabSelected="1" workbookViewId="0"/>
  </sheetViews>
  <sheetFormatPr baseColWidth="10" defaultColWidth="9.140625" defaultRowHeight="15" x14ac:dyDescent="0.25"/>
  <cols>
    <col min="2" max="6" width="25.28515625" customWidth="1"/>
    <col min="7" max="7" width="27.28515625" bestFit="1" customWidth="1"/>
    <col min="8" max="8" width="20.28515625" bestFit="1" customWidth="1"/>
    <col min="9" max="9" width="20" bestFit="1" customWidth="1"/>
    <col min="11" max="11" width="18.28515625" customWidth="1"/>
    <col min="12" max="12" width="33.7109375" customWidth="1"/>
    <col min="13" max="13" width="25" customWidth="1"/>
    <col min="14" max="14" width="18.140625" customWidth="1"/>
    <col min="16" max="17" width="25.28515625" customWidth="1"/>
    <col min="18" max="18" width="25.28515625" style="15" customWidth="1"/>
    <col min="19" max="20" width="25.28515625" customWidth="1"/>
    <col min="21" max="21" width="35.85546875" bestFit="1" customWidth="1"/>
    <col min="22" max="24" width="25.28515625" customWidth="1"/>
    <col min="25" max="25" width="25.28515625" style="12" customWidth="1"/>
    <col min="26" max="29" width="25.28515625" customWidth="1"/>
    <col min="30" max="30" width="27.5703125" bestFit="1" customWidth="1"/>
    <col min="31" max="31" width="25.28515625" style="12" customWidth="1"/>
    <col min="32" max="32" width="30.5703125" bestFit="1" customWidth="1"/>
    <col min="33" max="33" width="32.85546875" bestFit="1" customWidth="1"/>
    <col min="34" max="34" width="33.42578125" bestFit="1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13" t="s">
        <v>77</v>
      </c>
      <c r="S1" s="9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43</v>
      </c>
      <c r="Y1" s="10" t="s">
        <v>76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10" t="s">
        <v>77</v>
      </c>
      <c r="AF1" s="2" t="s">
        <v>27</v>
      </c>
      <c r="AG1" s="2" t="s">
        <v>28</v>
      </c>
      <c r="AH1" s="2" t="s">
        <v>29</v>
      </c>
    </row>
    <row r="2" spans="1:34" x14ac:dyDescent="0.25">
      <c r="A2" s="1">
        <v>1</v>
      </c>
      <c r="B2" t="s">
        <v>30</v>
      </c>
      <c r="C2" t="s">
        <v>96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3">
        <v>42765</v>
      </c>
      <c r="J2" t="s">
        <v>36</v>
      </c>
      <c r="K2">
        <v>5599991111</v>
      </c>
      <c r="L2" s="4" t="s">
        <v>37</v>
      </c>
      <c r="M2" t="s">
        <v>38</v>
      </c>
      <c r="N2" t="s">
        <v>39</v>
      </c>
      <c r="O2" s="5" t="s">
        <v>40</v>
      </c>
      <c r="P2" t="s">
        <v>41</v>
      </c>
      <c r="Q2" t="s">
        <v>45</v>
      </c>
      <c r="R2" s="14">
        <f>IFERROR(VLOOKUP(Q2, States!$A$2:$B$33, 2, FALSE), 0)</f>
        <v>1</v>
      </c>
      <c r="S2">
        <v>2381112233</v>
      </c>
      <c r="U2">
        <v>2381112234</v>
      </c>
      <c r="V2" s="3">
        <v>34245</v>
      </c>
      <c r="W2">
        <v>167</v>
      </c>
      <c r="X2" t="s">
        <v>42</v>
      </c>
      <c r="Y2" s="11">
        <f>IFERROR(VLOOKUP(X2, MaritalStatus!$A$2:$B$6, 2, FALSE), 0)</f>
        <v>1</v>
      </c>
      <c r="Z2" t="s">
        <v>44</v>
      </c>
      <c r="AA2">
        <v>0</v>
      </c>
      <c r="AD2" s="7"/>
      <c r="AE2" s="11">
        <f>IFERROR(VLOOKUP(AD2, States!$A$2:$B$33, 2, FALSE), )</f>
        <v>0</v>
      </c>
    </row>
    <row r="3" spans="1:34" x14ac:dyDescent="0.25">
      <c r="A3" s="1">
        <v>2</v>
      </c>
      <c r="B3" t="s">
        <v>97</v>
      </c>
      <c r="C3" t="s">
        <v>95</v>
      </c>
      <c r="D3" t="s">
        <v>82</v>
      </c>
      <c r="E3" t="s">
        <v>84</v>
      </c>
      <c r="F3" t="s">
        <v>83</v>
      </c>
      <c r="G3" t="s">
        <v>34</v>
      </c>
      <c r="H3" t="s">
        <v>85</v>
      </c>
      <c r="I3" s="3">
        <v>42766</v>
      </c>
      <c r="J3" t="s">
        <v>86</v>
      </c>
      <c r="K3">
        <v>5599991112</v>
      </c>
      <c r="L3" s="4" t="s">
        <v>88</v>
      </c>
      <c r="M3" t="s">
        <v>89</v>
      </c>
      <c r="N3" t="s">
        <v>90</v>
      </c>
      <c r="O3" s="5" t="s">
        <v>91</v>
      </c>
      <c r="P3" t="s">
        <v>41</v>
      </c>
      <c r="Q3" t="s">
        <v>64</v>
      </c>
      <c r="R3" s="14">
        <f>IFERROR(VLOOKUP(Q3, States!$A$2:$B$33, 2, FALSE), 0)</f>
        <v>21</v>
      </c>
      <c r="S3">
        <v>2381112234</v>
      </c>
      <c r="T3">
        <v>5511905163</v>
      </c>
      <c r="U3">
        <v>5412637894</v>
      </c>
      <c r="V3" s="3">
        <v>33239</v>
      </c>
      <c r="W3">
        <v>158</v>
      </c>
      <c r="X3" t="s">
        <v>78</v>
      </c>
      <c r="Y3" s="11">
        <f>IFERROR(VLOOKUP(X3, MaritalStatus!$A$2:$B$6, 2, FALSE), 0)</f>
        <v>2</v>
      </c>
      <c r="Z3" t="s">
        <v>92</v>
      </c>
      <c r="AA3">
        <v>2</v>
      </c>
      <c r="AB3" t="s">
        <v>93</v>
      </c>
      <c r="AC3" t="s">
        <v>87</v>
      </c>
      <c r="AD3" s="7" t="s">
        <v>45</v>
      </c>
      <c r="AE3" s="11">
        <f>IFERROR(VLOOKUP(AD3, States!$A$2:$B$33, 2, FALSE), 0)</f>
        <v>1</v>
      </c>
      <c r="AF3" s="3">
        <v>44576</v>
      </c>
      <c r="AG3" s="3"/>
      <c r="AH3" t="s">
        <v>94</v>
      </c>
    </row>
    <row r="4" spans="1:34" x14ac:dyDescent="0.25">
      <c r="O4" s="5"/>
    </row>
    <row r="5" spans="1:34" x14ac:dyDescent="0.25">
      <c r="O5" s="5"/>
    </row>
    <row r="6" spans="1:34" x14ac:dyDescent="0.25">
      <c r="O6" s="5"/>
    </row>
    <row r="7" spans="1:34" x14ac:dyDescent="0.25">
      <c r="O7" s="5"/>
    </row>
    <row r="8" spans="1:34" x14ac:dyDescent="0.25">
      <c r="O8" s="5"/>
    </row>
    <row r="9" spans="1:34" x14ac:dyDescent="0.25">
      <c r="O9" s="5"/>
    </row>
  </sheetData>
  <conditionalFormatting sqref="AE1:AE1048576">
    <cfRule type="cellIs" dxfId="2" priority="6" operator="lessThan">
      <formula>1</formula>
    </cfRule>
  </conditionalFormatting>
  <conditionalFormatting sqref="Y1:Y1048576">
    <cfRule type="cellIs" dxfId="1" priority="5" operator="lessThan">
      <formula>1</formula>
    </cfRule>
  </conditionalFormatting>
  <conditionalFormatting sqref="R1:R1048576">
    <cfRule type="cellIs" dxfId="0" priority="4" operator="lessThan">
      <formula>1</formula>
    </cfRule>
  </conditionalFormatting>
  <hyperlinks>
    <hyperlink ref="L2" r:id="rId1"/>
    <hyperlink ref="L3" r:id="rId2" display="tulio_lopez@mail.com"/>
    <hyperlink ref="L3" r:id="rId3"/>
  </hyperlinks>
  <pageMargins left="0.7" right="0.7" top="0.75" bottom="0.75" header="0.3" footer="0.3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States!$A$2:$A$33</xm:f>
          </x14:formula1>
          <xm:sqref>AD1:AD1048576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A12" sqref="A12"/>
    </sheetView>
  </sheetViews>
  <sheetFormatPr baseColWidth="10" defaultRowHeight="15" x14ac:dyDescent="0.25"/>
  <sheetData>
    <row r="1" spans="1:2" x14ac:dyDescent="0.25">
      <c r="A1" s="6" t="s">
        <v>1</v>
      </c>
      <c r="B1" s="6" t="s">
        <v>0</v>
      </c>
    </row>
    <row r="2" spans="1:2" x14ac:dyDescent="0.25">
      <c r="A2" s="7" t="s">
        <v>45</v>
      </c>
      <c r="B2" s="7">
        <v>1</v>
      </c>
    </row>
    <row r="3" spans="1:2" x14ac:dyDescent="0.25">
      <c r="A3" s="7" t="s">
        <v>46</v>
      </c>
      <c r="B3" s="7">
        <v>2</v>
      </c>
    </row>
    <row r="4" spans="1:2" x14ac:dyDescent="0.25">
      <c r="A4" s="7" t="s">
        <v>47</v>
      </c>
      <c r="B4" s="7">
        <v>3</v>
      </c>
    </row>
    <row r="5" spans="1:2" x14ac:dyDescent="0.25">
      <c r="A5" s="7" t="s">
        <v>48</v>
      </c>
      <c r="B5" s="7">
        <v>4</v>
      </c>
    </row>
    <row r="6" spans="1:2" x14ac:dyDescent="0.25">
      <c r="A6" s="7" t="s">
        <v>49</v>
      </c>
      <c r="B6" s="7">
        <v>5</v>
      </c>
    </row>
    <row r="7" spans="1:2" x14ac:dyDescent="0.25">
      <c r="A7" s="7" t="s">
        <v>50</v>
      </c>
      <c r="B7" s="7">
        <v>6</v>
      </c>
    </row>
    <row r="8" spans="1:2" x14ac:dyDescent="0.25">
      <c r="A8" s="7" t="s">
        <v>51</v>
      </c>
      <c r="B8" s="7">
        <v>7</v>
      </c>
    </row>
    <row r="9" spans="1:2" x14ac:dyDescent="0.25">
      <c r="A9" s="7" t="s">
        <v>52</v>
      </c>
      <c r="B9" s="7">
        <v>8</v>
      </c>
    </row>
    <row r="10" spans="1:2" x14ac:dyDescent="0.25">
      <c r="A10" s="7" t="s">
        <v>53</v>
      </c>
      <c r="B10" s="7">
        <v>9</v>
      </c>
    </row>
    <row r="11" spans="1:2" x14ac:dyDescent="0.25">
      <c r="A11" s="7" t="s">
        <v>54</v>
      </c>
      <c r="B11" s="7">
        <v>10</v>
      </c>
    </row>
    <row r="12" spans="1:2" x14ac:dyDescent="0.25">
      <c r="A12" s="7" t="s">
        <v>55</v>
      </c>
      <c r="B12" s="7">
        <v>11</v>
      </c>
    </row>
    <row r="13" spans="1:2" x14ac:dyDescent="0.25">
      <c r="A13" s="7" t="s">
        <v>56</v>
      </c>
      <c r="B13" s="7">
        <v>12</v>
      </c>
    </row>
    <row r="14" spans="1:2" x14ac:dyDescent="0.25">
      <c r="A14" s="7" t="s">
        <v>57</v>
      </c>
      <c r="B14" s="7">
        <v>13</v>
      </c>
    </row>
    <row r="15" spans="1:2" x14ac:dyDescent="0.25">
      <c r="A15" s="7" t="s">
        <v>58</v>
      </c>
      <c r="B15" s="7">
        <v>14</v>
      </c>
    </row>
    <row r="16" spans="1:2" x14ac:dyDescent="0.25">
      <c r="A16" s="7" t="s">
        <v>59</v>
      </c>
      <c r="B16" s="7">
        <v>15</v>
      </c>
    </row>
    <row r="17" spans="1:2" x14ac:dyDescent="0.25">
      <c r="A17" s="7" t="s">
        <v>60</v>
      </c>
      <c r="B17" s="7">
        <v>16</v>
      </c>
    </row>
    <row r="18" spans="1:2" x14ac:dyDescent="0.25">
      <c r="A18" s="7" t="s">
        <v>39</v>
      </c>
      <c r="B18" s="7">
        <v>17</v>
      </c>
    </row>
    <row r="19" spans="1:2" x14ac:dyDescent="0.25">
      <c r="A19" s="7" t="s">
        <v>61</v>
      </c>
      <c r="B19" s="7">
        <v>18</v>
      </c>
    </row>
    <row r="20" spans="1:2" x14ac:dyDescent="0.25">
      <c r="A20" s="7" t="s">
        <v>62</v>
      </c>
      <c r="B20" s="7">
        <v>19</v>
      </c>
    </row>
    <row r="21" spans="1:2" x14ac:dyDescent="0.25">
      <c r="A21" s="7" t="s">
        <v>63</v>
      </c>
      <c r="B21" s="7">
        <v>20</v>
      </c>
    </row>
    <row r="22" spans="1:2" x14ac:dyDescent="0.25">
      <c r="A22" s="7" t="s">
        <v>64</v>
      </c>
      <c r="B22" s="7">
        <v>21</v>
      </c>
    </row>
    <row r="23" spans="1:2" x14ac:dyDescent="0.25">
      <c r="A23" s="7" t="s">
        <v>65</v>
      </c>
      <c r="B23" s="7">
        <v>22</v>
      </c>
    </row>
    <row r="24" spans="1:2" x14ac:dyDescent="0.25">
      <c r="A24" s="7" t="s">
        <v>66</v>
      </c>
      <c r="B24" s="7">
        <v>23</v>
      </c>
    </row>
    <row r="25" spans="1:2" x14ac:dyDescent="0.25">
      <c r="A25" s="7" t="s">
        <v>67</v>
      </c>
      <c r="B25" s="7">
        <v>24</v>
      </c>
    </row>
    <row r="26" spans="1:2" x14ac:dyDescent="0.25">
      <c r="A26" s="7" t="s">
        <v>68</v>
      </c>
      <c r="B26" s="7">
        <v>25</v>
      </c>
    </row>
    <row r="27" spans="1:2" x14ac:dyDescent="0.25">
      <c r="A27" s="7" t="s">
        <v>69</v>
      </c>
      <c r="B27" s="7">
        <v>26</v>
      </c>
    </row>
    <row r="28" spans="1:2" x14ac:dyDescent="0.25">
      <c r="A28" s="7" t="s">
        <v>70</v>
      </c>
      <c r="B28" s="7">
        <v>27</v>
      </c>
    </row>
    <row r="29" spans="1:2" x14ac:dyDescent="0.25">
      <c r="A29" s="7" t="s">
        <v>71</v>
      </c>
      <c r="B29" s="7">
        <v>28</v>
      </c>
    </row>
    <row r="30" spans="1:2" x14ac:dyDescent="0.25">
      <c r="A30" s="7" t="s">
        <v>72</v>
      </c>
      <c r="B30" s="7">
        <v>29</v>
      </c>
    </row>
    <row r="31" spans="1:2" x14ac:dyDescent="0.25">
      <c r="A31" s="7" t="s">
        <v>73</v>
      </c>
      <c r="B31" s="7">
        <v>30</v>
      </c>
    </row>
    <row r="32" spans="1:2" x14ac:dyDescent="0.25">
      <c r="A32" s="7" t="s">
        <v>74</v>
      </c>
      <c r="B32" s="7">
        <v>31</v>
      </c>
    </row>
    <row r="33" spans="1:2" x14ac:dyDescent="0.25">
      <c r="A33" s="7" t="s">
        <v>75</v>
      </c>
      <c r="B33" s="7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2" sqref="D12"/>
    </sheetView>
  </sheetViews>
  <sheetFormatPr baseColWidth="10" defaultRowHeight="15" x14ac:dyDescent="0.25"/>
  <sheetData>
    <row r="1" spans="1:2" x14ac:dyDescent="0.25">
      <c r="A1" s="6" t="s">
        <v>1</v>
      </c>
      <c r="B1" s="6" t="s">
        <v>0</v>
      </c>
    </row>
    <row r="2" spans="1:2" x14ac:dyDescent="0.25">
      <c r="A2" t="s">
        <v>42</v>
      </c>
      <c r="B2">
        <v>1</v>
      </c>
    </row>
    <row r="3" spans="1:2" x14ac:dyDescent="0.25">
      <c r="A3" t="s">
        <v>78</v>
      </c>
      <c r="B3">
        <v>2</v>
      </c>
    </row>
    <row r="4" spans="1:2" x14ac:dyDescent="0.25">
      <c r="A4" t="s">
        <v>79</v>
      </c>
      <c r="B4">
        <v>3</v>
      </c>
    </row>
    <row r="5" spans="1:2" x14ac:dyDescent="0.25">
      <c r="A5" t="s">
        <v>80</v>
      </c>
      <c r="B5">
        <v>4</v>
      </c>
    </row>
    <row r="6" spans="1:2" x14ac:dyDescent="0.25">
      <c r="A6" t="s">
        <v>81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States</vt:lpstr>
      <vt:lpstr>MaritalStatus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2026-05-20T00:35:18Z</dcterms:modified>
</cp:coreProperties>
</file>